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BE056D8C0B951E/Documents/"/>
    </mc:Choice>
  </mc:AlternateContent>
  <xr:revisionPtr revIDLastSave="251" documentId="8_{E27B46E2-2B9A-4DBC-8506-EE5FFD77DECA}" xr6:coauthVersionLast="47" xr6:coauthVersionMax="47" xr10:uidLastSave="{7A90B4E0-0704-4C32-8869-647F7FDC9517}"/>
  <bookViews>
    <workbookView xWindow="-110" yWindow="-110" windowWidth="19420" windowHeight="11500" activeTab="2" xr2:uid="{5E4087FA-B3B9-4333-B3BD-2238EEB4CAD5}"/>
  </bookViews>
  <sheets>
    <sheet name="Data" sheetId="1" r:id="rId1"/>
    <sheet name="Sheet4" sheetId="4" r:id="rId2"/>
    <sheet name="Dashboard" sheetId="5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I4" i="5"/>
  <c r="G4" i="5"/>
  <c r="E4" i="5"/>
  <c r="D5" i="1"/>
  <c r="E6" i="1"/>
</calcChain>
</file>

<file path=xl/sharedStrings.xml><?xml version="1.0" encoding="utf-8"?>
<sst xmlns="http://schemas.openxmlformats.org/spreadsheetml/2006/main" count="26" uniqueCount="22">
  <si>
    <t>ID</t>
  </si>
  <si>
    <t>Name</t>
  </si>
  <si>
    <t>Salary</t>
  </si>
  <si>
    <t>Priya</t>
  </si>
  <si>
    <t>Age</t>
  </si>
  <si>
    <t>City</t>
  </si>
  <si>
    <t>Arun</t>
  </si>
  <si>
    <t>Chennai</t>
  </si>
  <si>
    <t>Ravi</t>
  </si>
  <si>
    <t>Madurai</t>
  </si>
  <si>
    <t>Meena</t>
  </si>
  <si>
    <t>Karthik</t>
  </si>
  <si>
    <t>Coimbatore</t>
  </si>
  <si>
    <t>Row Labels</t>
  </si>
  <si>
    <t>Grand Total</t>
  </si>
  <si>
    <t>Sum of Salary</t>
  </si>
  <si>
    <t>Count of Name</t>
  </si>
  <si>
    <t>Total Employees</t>
  </si>
  <si>
    <t>Total Salary</t>
  </si>
  <si>
    <t>Average Salary</t>
  </si>
  <si>
    <t>Highest Salary</t>
  </si>
  <si>
    <t xml:space="preserve">           DATA CLEANING &amp; REPORTING AUTOMATION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</si>
</sst>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Salary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977078499623886"/>
          <c:y val="0.3834117631854056"/>
          <c:w val="0.6366538157060565"/>
          <c:h val="0.533981283099934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Sheet4!$A$4:$A$7</c:f>
              <c:strCache>
                <c:ptCount val="3"/>
                <c:pt idx="0">
                  <c:v>Chennai</c:v>
                </c:pt>
                <c:pt idx="1">
                  <c:v>Coimbatore</c:v>
                </c:pt>
                <c:pt idx="2">
                  <c:v>Madurai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90000</c:v>
                </c:pt>
                <c:pt idx="1">
                  <c:v>29500</c:v>
                </c:pt>
                <c:pt idx="2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2-41C5-856D-5D8C92EC9255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Count of Name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Sheet4!$A$4:$A$7</c:f>
              <c:strCache>
                <c:ptCount val="3"/>
                <c:pt idx="0">
                  <c:v>Chennai</c:v>
                </c:pt>
                <c:pt idx="1">
                  <c:v>Coimbatore</c:v>
                </c:pt>
                <c:pt idx="2">
                  <c:v>Madurai</c:v>
                </c:pt>
              </c:strCache>
            </c:strRef>
          </c:cat>
          <c:val>
            <c:numRef>
              <c:f>Sheet4!$C$4:$C$7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B2-41C5-856D-5D8C92EC9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7741312"/>
        <c:axId val="277744672"/>
      </c:barChart>
      <c:catAx>
        <c:axId val="27774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44672"/>
        <c:crosses val="autoZero"/>
        <c:auto val="1"/>
        <c:lblAlgn val="ctr"/>
        <c:lblOffset val="100"/>
        <c:noMultiLvlLbl val="0"/>
      </c:catAx>
      <c:valAx>
        <c:axId val="2777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4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[Dashboard.xlsx]Sheet4!PivotTable3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Employee Distribution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6152909833639215"/>
          <c:y val="0.33111452285989057"/>
          <c:w val="0.28424486412882599"/>
          <c:h val="0.46962213317244905"/>
        </c:manualLayout>
      </c:layout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Sum of Salary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C2-453C-9D6C-55C4B182578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C2-453C-9D6C-55C4B182578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3C2-453C-9D6C-55C4B18257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Sheet4!$A$4:$A$7</c:f>
              <c:strCache>
                <c:ptCount val="3"/>
                <c:pt idx="0">
                  <c:v>Chennai</c:v>
                </c:pt>
                <c:pt idx="1">
                  <c:v>Coimbatore</c:v>
                </c:pt>
                <c:pt idx="2">
                  <c:v>Madurai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90000</c:v>
                </c:pt>
                <c:pt idx="1">
                  <c:v>29500</c:v>
                </c:pt>
                <c:pt idx="2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C2-453C-9D6C-55C4B1825784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Count of Name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F3C2-453C-9D6C-55C4B182578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F3C2-453C-9D6C-55C4B182578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F3C2-453C-9D6C-55C4B18257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Sheet4!$A$4:$A$7</c:f>
              <c:strCache>
                <c:ptCount val="3"/>
                <c:pt idx="0">
                  <c:v>Chennai</c:v>
                </c:pt>
                <c:pt idx="1">
                  <c:v>Coimbatore</c:v>
                </c:pt>
                <c:pt idx="2">
                  <c:v>Madurai</c:v>
                </c:pt>
              </c:strCache>
            </c:strRef>
          </c:cat>
          <c:val>
            <c:numRef>
              <c:f>Sheet4!$C$4:$C$7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3C2-453C-9D6C-55C4B182578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507999</xdr:colOff>
      <xdr:row>5</xdr:row>
      <xdr:rowOff>165100</xdr:rowOff>
    </xdr:from>
    <xdr:to>
      <xdr:col>9</xdr:col>
      <xdr:colOff>1127125</xdr:colOff>
      <xdr:row>20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996D5-F7A8-46F2-AE2D-CE641553F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500062</xdr:colOff>
      <xdr:row>22</xdr:row>
      <xdr:rowOff>7939</xdr:rowOff>
    </xdr:from>
    <xdr:to>
      <xdr:col>5</xdr:col>
      <xdr:colOff>55562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365D61-A446-4876-9877-F1ECD860E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22</xdr:row>
      <xdr:rowOff>15875</xdr:rowOff>
    </xdr:from>
    <xdr:to>
      <xdr:col>10</xdr:col>
      <xdr:colOff>7938</xdr:colOff>
      <xdr:row>34</xdr:row>
      <xdr:rowOff>166688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7A453F-93A7-0380-1064-DAB74C7F3469}"/>
            </a:ext>
          </a:extLst>
        </xdr:cNvPr>
        <xdr:cNvSpPr txBox="1"/>
      </xdr:nvSpPr>
      <xdr:spPr>
        <a:xfrm>
          <a:off x="5278438" y="4349750"/>
          <a:ext cx="4064000" cy="234156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100" b="1" i="0"/>
            <a:t>                                                           </a:t>
          </a:r>
          <a:r>
            <a:rPr lang="en-IN" sz="1400" b="1" i="0" u="none"/>
            <a:t>KEY INSIGHTS</a:t>
          </a:r>
        </a:p>
        <a:p>
          <a:endParaRPr lang="en-IN" sz="1100"/>
        </a:p>
        <a:p>
          <a:r>
            <a:rPr lang="en-IN" sz="1100"/>
            <a:t>• Chennai has the highest total salary (₹90,000)</a:t>
          </a:r>
        </a:p>
        <a:p>
          <a:endParaRPr lang="en-IN" sz="1100"/>
        </a:p>
        <a:p>
          <a:r>
            <a:rPr lang="en-IN" sz="1100"/>
            <a:t>• Total employees: 5</a:t>
          </a:r>
        </a:p>
        <a:p>
          <a:endParaRPr lang="en-IN" sz="1100"/>
        </a:p>
        <a:p>
          <a:r>
            <a:rPr lang="en-IN" sz="1100"/>
            <a:t>• Average salary: ₹29,500</a:t>
          </a:r>
        </a:p>
        <a:p>
          <a:endParaRPr lang="en-IN" sz="1100"/>
        </a:p>
        <a:p>
          <a:r>
            <a:rPr lang="en-IN" sz="1100"/>
            <a:t>• Highest salary: ₹35,000</a:t>
          </a:r>
        </a:p>
        <a:p>
          <a:endParaRPr lang="en-IN" sz="1100"/>
        </a:p>
        <a:p>
          <a:r>
            <a:rPr lang="en-IN" sz="1100"/>
            <a:t>• Chennai accounts for 61% of employees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" refreshedDate="46173.698096759261" createdVersion="8" refreshedVersion="8" minRefreshableVersion="3" recordCount="5" xr:uid="{3403AD33-0C39-4EEE-A78E-314E4D4A5014}">
  <cacheSource type="worksheet">
    <worksheetSource ref="A1:E6" sheet="Data"/>
  </cacheSource>
  <cacheFields count="5">
    <cacheField name="ID" numFmtId="0">
      <sharedItems containsSemiMixedTypes="0" containsString="0" containsNumber="1" containsInteger="1" minValue="1" maxValue="6"/>
    </cacheField>
    <cacheField name="Name" numFmtId="0">
      <sharedItems/>
    </cacheField>
    <cacheField name="Age" numFmtId="0">
      <sharedItems containsSemiMixedTypes="0" containsString="0" containsNumber="1" containsInteger="1" minValue="25" maxValue="30"/>
    </cacheField>
    <cacheField name="City" numFmtId="0">
      <sharedItems count="3">
        <s v="Chennai"/>
        <s v="Madurai"/>
        <s v="Coimbatore"/>
      </sharedItems>
    </cacheField>
    <cacheField name="Salary" numFmtId="0">
      <sharedItems containsSemiMixedTypes="0" containsString="0" containsNumber="1" containsInteger="1" minValue="25000" maxValue="3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s v="Arun"/>
    <n v="25"/>
    <x v="0"/>
    <n v="25000"/>
  </r>
  <r>
    <n v="2"/>
    <s v="Priya"/>
    <n v="28"/>
    <x v="0"/>
    <n v="30000"/>
  </r>
  <r>
    <n v="3"/>
    <s v="Ravi"/>
    <n v="28"/>
    <x v="1"/>
    <n v="28000"/>
  </r>
  <r>
    <n v="5"/>
    <s v="Meena"/>
    <n v="30"/>
    <x v="0"/>
    <n v="35000"/>
  </r>
  <r>
    <n v="6"/>
    <s v="Karthik"/>
    <n v="27"/>
    <x v="2"/>
    <n v="29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0287D-1D98-4E2C-BF62-747D175600D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C7" firstHeaderRow="0" firstDataRow="1" firstDataCol="1"/>
  <pivotFields count="5">
    <pivotField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4" baseField="0" baseItem="0"/>
    <dataField name="Count of Name" fld="1" subtotal="count" baseField="0" baseItem="0"/>
  </dataFields>
  <chartFormats count="1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15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22" format="16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22" format="17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8A42-6D78-4E54-B507-AD6C407DBC0A}">
  <dimension ref="A1:E6"/>
  <sheetViews>
    <sheetView workbookViewId="0">
      <selection activeCell="D17" sqref="D17"/>
    </sheetView>
  </sheetViews>
  <sheetFormatPr defaultRowHeight="14.5" x14ac:dyDescent="0.35"/>
  <cols>
    <col min="2" max="2" width="13.26953125" customWidth="1"/>
    <col min="3" max="3" width="10.81640625" customWidth="1"/>
    <col min="4" max="4" width="15.90625" customWidth="1"/>
    <col min="5" max="5" width="19.54296875" customWidth="1"/>
  </cols>
  <sheetData>
    <row r="1" spans="1:5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</row>
    <row r="2" spans="1:5" x14ac:dyDescent="0.35">
      <c r="A2" s="2">
        <v>1</v>
      </c>
      <c r="B2" s="2" t="s">
        <v>6</v>
      </c>
      <c r="C2" s="2">
        <v>25</v>
      </c>
      <c r="D2" s="2" t="s">
        <v>7</v>
      </c>
      <c r="E2" s="2">
        <v>25000</v>
      </c>
    </row>
    <row r="3" spans="1:5" x14ac:dyDescent="0.35">
      <c r="A3" s="2">
        <v>2</v>
      </c>
      <c r="B3" s="2" t="s">
        <v>3</v>
      </c>
      <c r="C3" s="2">
        <v>28</v>
      </c>
      <c r="D3" s="2" t="s">
        <v>7</v>
      </c>
      <c r="E3" s="2">
        <v>30000</v>
      </c>
    </row>
    <row r="4" spans="1:5" x14ac:dyDescent="0.35">
      <c r="A4" s="2">
        <v>3</v>
      </c>
      <c r="B4" s="2" t="s">
        <v>8</v>
      </c>
      <c r="C4" s="2">
        <v>28</v>
      </c>
      <c r="D4" s="2" t="s">
        <v>9</v>
      </c>
      <c r="E4" s="2">
        <v>28000</v>
      </c>
    </row>
    <row r="5" spans="1:5" x14ac:dyDescent="0.35">
      <c r="A5" s="2">
        <v>5</v>
      </c>
      <c r="B5" s="2" t="s">
        <v>10</v>
      </c>
      <c r="C5" s="2">
        <v>30</v>
      </c>
      <c r="D5" s="2" t="str">
        <f>PROPER(D2)</f>
        <v>Chennai</v>
      </c>
      <c r="E5" s="2">
        <v>35000</v>
      </c>
    </row>
    <row r="6" spans="1:5" x14ac:dyDescent="0.35">
      <c r="A6" s="2">
        <v>6</v>
      </c>
      <c r="B6" s="2" t="s">
        <v>11</v>
      </c>
      <c r="C6" s="2">
        <v>27</v>
      </c>
      <c r="D6" s="2" t="s">
        <v>12</v>
      </c>
      <c r="E6" s="2">
        <f>AVERAGE(E2:E5)</f>
        <v>29500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2449-212B-44C7-9A3A-2E3C67D6938B}">
  <dimension ref="A3:C7"/>
  <sheetViews>
    <sheetView topLeftCell="A2" zoomScale="71" zoomScaleNormal="100" workbookViewId="0">
      <selection activeCell="O14" sqref="O14"/>
    </sheetView>
  </sheetViews>
  <sheetFormatPr defaultRowHeight="14.5" x14ac:dyDescent="0.35"/>
  <cols>
    <col min="1" max="1" width="12.453125" bestFit="1" customWidth="1"/>
    <col min="2" max="2" width="12.1796875" bestFit="1" customWidth="1"/>
    <col min="3" max="3" width="13.26953125" bestFit="1" customWidth="1"/>
  </cols>
  <sheetData>
    <row r="3" spans="1:3" x14ac:dyDescent="0.35">
      <c r="A3" s="3" t="s">
        <v>13</v>
      </c>
      <c r="B3" t="s">
        <v>15</v>
      </c>
      <c r="C3" t="s">
        <v>16</v>
      </c>
    </row>
    <row r="4" spans="1:3" x14ac:dyDescent="0.35">
      <c r="A4" s="4" t="s">
        <v>7</v>
      </c>
      <c r="B4">
        <v>90000</v>
      </c>
      <c r="C4">
        <v>3</v>
      </c>
    </row>
    <row r="5" spans="1:3" x14ac:dyDescent="0.35">
      <c r="A5" s="4" t="s">
        <v>12</v>
      </c>
      <c r="B5">
        <v>29500</v>
      </c>
      <c r="C5">
        <v>1</v>
      </c>
    </row>
    <row r="6" spans="1:3" x14ac:dyDescent="0.35">
      <c r="A6" s="4" t="s">
        <v>9</v>
      </c>
      <c r="B6">
        <v>28000</v>
      </c>
      <c r="C6">
        <v>1</v>
      </c>
    </row>
    <row r="7" spans="1:3" x14ac:dyDescent="0.35">
      <c r="A7" s="4" t="s">
        <v>14</v>
      </c>
      <c r="B7">
        <v>147500</v>
      </c>
      <c r="C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C412-5E42-48BF-A970-620004D8E54A}">
  <dimension ref="A1:L10"/>
  <sheetViews>
    <sheetView tabSelected="1" zoomScale="80" workbookViewId="0">
      <selection activeCell="O6" sqref="O6"/>
    </sheetView>
  </sheetViews>
  <sheetFormatPr defaultRowHeight="14.5" x14ac:dyDescent="0.35"/>
  <cols>
    <col min="1" max="1" width="16.81640625" customWidth="1"/>
    <col min="3" max="3" width="16.26953125" customWidth="1"/>
    <col min="5" max="5" width="16.26953125" customWidth="1"/>
    <col min="7" max="7" width="16.453125" customWidth="1"/>
    <col min="9" max="9" width="16.6328125" customWidth="1"/>
    <col min="10" max="10" width="16.26953125" customWidth="1"/>
  </cols>
  <sheetData>
    <row r="1" spans="1:12" s="7" customFormat="1" ht="37" x14ac:dyDescent="0.85">
      <c r="A1" s="10" t="s">
        <v>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6" customHeight="1" x14ac:dyDescent="0.35"/>
    <row r="3" spans="1:12" x14ac:dyDescent="0.35">
      <c r="C3" s="8" t="s">
        <v>17</v>
      </c>
      <c r="E3" s="8" t="s">
        <v>18</v>
      </c>
      <c r="G3" s="8" t="s">
        <v>19</v>
      </c>
      <c r="I3" s="8" t="s">
        <v>20</v>
      </c>
    </row>
    <row r="4" spans="1:12" ht="15" customHeight="1" x14ac:dyDescent="0.35">
      <c r="C4" s="9">
        <f>COUNTA(Data!B2:B6)</f>
        <v>5</v>
      </c>
      <c r="E4" s="9">
        <f>SUM(Data!E2:E6)</f>
        <v>147500</v>
      </c>
      <c r="G4" s="9">
        <f>AVERAGE(Data!E2:E6)</f>
        <v>29500</v>
      </c>
      <c r="I4" s="9">
        <f>MAX(Data!E2:E6)</f>
        <v>35000</v>
      </c>
    </row>
    <row r="8" spans="1:12" x14ac:dyDescent="0.35">
      <c r="B8" s="5"/>
    </row>
    <row r="10" spans="1:12" x14ac:dyDescent="0.35">
      <c r="E10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Sheet4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 A</dc:creator>
  <cp:lastModifiedBy>Priyadharshini A</cp:lastModifiedBy>
  <dcterms:created xsi:type="dcterms:W3CDTF">2026-05-31T10:54:48Z</dcterms:created>
  <dcterms:modified xsi:type="dcterms:W3CDTF">2026-05-31T12:28:11Z</dcterms:modified>
</cp:coreProperties>
</file>